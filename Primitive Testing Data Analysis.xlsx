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am/Documents/"/>
    </mc:Choice>
  </mc:AlternateContent>
  <xr:revisionPtr revIDLastSave="0" documentId="13_ncr:1_{49250426-0583-BC47-99DE-A593878AE588}" xr6:coauthVersionLast="47" xr6:coauthVersionMax="47" xr10:uidLastSave="{00000000-0000-0000-0000-000000000000}"/>
  <bookViews>
    <workbookView xWindow="20" yWindow="1740" windowWidth="22120" windowHeight="15980" xr2:uid="{9D05CCF2-C429-884D-8DA9-DCC0300FE582}"/>
  </bookViews>
  <sheets>
    <sheet name="Data Analysis" sheetId="1" r:id="rId1"/>
  </sheets>
  <definedNames>
    <definedName name="_xlchart.v1.0" hidden="1">'Data Analysis'!$AB$1</definedName>
    <definedName name="_xlchart.v1.1" hidden="1">'Data Analysis'!$AB$2:$AB$23</definedName>
    <definedName name="_xlchart.v1.2" hidden="1">'Data Analysis'!$Y$1</definedName>
    <definedName name="_xlchart.v1.3" hidden="1">'Data Analysis'!$Y$2:$Y$23</definedName>
    <definedName name="_xlchart.v1.4" hidden="1">'Data Analysis'!$AF$1</definedName>
    <definedName name="_xlchart.v1.5" hidden="1">'Data Analysis'!$AF$2:$AF$23</definedName>
    <definedName name="_xlchart.v1.6" hidden="1">'Data Analysis'!$AB$1</definedName>
    <definedName name="_xlchart.v1.7" hidden="1">'Data Analysis'!$AB$2:$AB$23</definedName>
    <definedName name="ExternalData_1" localSheetId="0" hidden="1">'Data Analysis'!$B$1:$X$23</definedName>
    <definedName name="ExternalData_1" localSheetId="0" hidden="1">'Data Analysis'!$B$1:$X$23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Y2" i="1"/>
  <c r="AA2" i="1"/>
  <c r="Z2" i="1" s="1"/>
  <c r="AI2" i="1"/>
  <c r="A3" i="1"/>
  <c r="Y3" i="1"/>
  <c r="Z3" i="1"/>
  <c r="AA3" i="1"/>
  <c r="AB3" i="1" s="1"/>
  <c r="AC3" i="1" s="1"/>
  <c r="AI3" i="1"/>
  <c r="A4" i="1"/>
  <c r="Y4" i="1"/>
  <c r="Z4" i="1"/>
  <c r="AA4" i="1"/>
  <c r="AB4" i="1" s="1"/>
  <c r="AC4" i="1" s="1"/>
  <c r="AI4" i="1"/>
  <c r="A5" i="1"/>
  <c r="Y5" i="1"/>
  <c r="AA5" i="1"/>
  <c r="AB5" i="1" s="1"/>
  <c r="AC5" i="1" s="1"/>
  <c r="AI5" i="1"/>
  <c r="A6" i="1"/>
  <c r="Y6" i="1"/>
  <c r="AA6" i="1"/>
  <c r="Z6" i="1" s="1"/>
  <c r="AB6" i="1"/>
  <c r="AC6" i="1"/>
  <c r="AI6" i="1"/>
  <c r="A7" i="1"/>
  <c r="Y7" i="1"/>
  <c r="Z7" i="1"/>
  <c r="AA7" i="1"/>
  <c r="AB7" i="1"/>
  <c r="AC7" i="1"/>
  <c r="AI7" i="1"/>
  <c r="A8" i="1"/>
  <c r="Y8" i="1"/>
  <c r="AA8" i="1"/>
  <c r="Z8" i="1" s="1"/>
  <c r="AI8" i="1"/>
  <c r="A9" i="1"/>
  <c r="Y9" i="1"/>
  <c r="AA9" i="1"/>
  <c r="Z9" i="1" s="1"/>
  <c r="AB9" i="1"/>
  <c r="AC9" i="1" s="1"/>
  <c r="AI9" i="1"/>
  <c r="A10" i="1"/>
  <c r="Y10" i="1"/>
  <c r="AA10" i="1"/>
  <c r="Z10" i="1" s="1"/>
  <c r="AB10" i="1"/>
  <c r="AC10" i="1"/>
  <c r="AI10" i="1"/>
  <c r="A11" i="1"/>
  <c r="Y11" i="1"/>
  <c r="Z11" i="1"/>
  <c r="AA11" i="1"/>
  <c r="AB11" i="1"/>
  <c r="AC11" i="1"/>
  <c r="AI11" i="1"/>
  <c r="A12" i="1"/>
  <c r="Y12" i="1"/>
  <c r="AA12" i="1"/>
  <c r="AB12" i="1" s="1"/>
  <c r="AC12" i="1" s="1"/>
  <c r="AI12" i="1"/>
  <c r="A13" i="1"/>
  <c r="Y13" i="1"/>
  <c r="AA13" i="1"/>
  <c r="Z13" i="1" s="1"/>
  <c r="AB13" i="1"/>
  <c r="AC13" i="1" s="1"/>
  <c r="AI13" i="1"/>
  <c r="A14" i="1"/>
  <c r="Y14" i="1"/>
  <c r="AA14" i="1"/>
  <c r="Z14" i="1" s="1"/>
  <c r="AB14" i="1"/>
  <c r="AC14" i="1"/>
  <c r="AI14" i="1"/>
  <c r="A15" i="1"/>
  <c r="Y15" i="1"/>
  <c r="Z15" i="1"/>
  <c r="AA15" i="1"/>
  <c r="AB15" i="1"/>
  <c r="AC15" i="1"/>
  <c r="AI15" i="1"/>
  <c r="A16" i="1"/>
  <c r="Y16" i="1"/>
  <c r="AA16" i="1"/>
  <c r="Z16" i="1" s="1"/>
  <c r="AI16" i="1"/>
  <c r="A17" i="1"/>
  <c r="Y17" i="1"/>
  <c r="AA17" i="1"/>
  <c r="Z17" i="1" s="1"/>
  <c r="AB17" i="1"/>
  <c r="AC17" i="1" s="1"/>
  <c r="AI17" i="1"/>
  <c r="A18" i="1"/>
  <c r="Y18" i="1"/>
  <c r="AA18" i="1"/>
  <c r="Z18" i="1" s="1"/>
  <c r="AB18" i="1"/>
  <c r="AC18" i="1"/>
  <c r="AI18" i="1"/>
  <c r="A19" i="1"/>
  <c r="Y19" i="1"/>
  <c r="Z19" i="1"/>
  <c r="AA19" i="1"/>
  <c r="AB19" i="1"/>
  <c r="AC19" i="1"/>
  <c r="AI19" i="1"/>
  <c r="A20" i="1"/>
  <c r="Y20" i="1"/>
  <c r="AA20" i="1"/>
  <c r="AB20" i="1" s="1"/>
  <c r="AC20" i="1" s="1"/>
  <c r="AI20" i="1"/>
  <c r="A21" i="1"/>
  <c r="Y21" i="1"/>
  <c r="AA21" i="1"/>
  <c r="Z21" i="1" s="1"/>
  <c r="AB21" i="1"/>
  <c r="AC21" i="1" s="1"/>
  <c r="AI21" i="1"/>
  <c r="A22" i="1"/>
  <c r="Y22" i="1"/>
  <c r="AA22" i="1"/>
  <c r="Z22" i="1" s="1"/>
  <c r="AB22" i="1"/>
  <c r="AC22" i="1"/>
  <c r="AI22" i="1"/>
  <c r="A23" i="1"/>
  <c r="Y23" i="1"/>
  <c r="Z23" i="1"/>
  <c r="AA23" i="1"/>
  <c r="AB23" i="1"/>
  <c r="AC23" i="1"/>
  <c r="AI23" i="1"/>
  <c r="Z20" i="1" l="1"/>
  <c r="Z12" i="1"/>
  <c r="Z5" i="1"/>
  <c r="AB16" i="1"/>
  <c r="AC16" i="1" s="1"/>
  <c r="AB8" i="1"/>
  <c r="AC8" i="1" s="1"/>
  <c r="AB2" i="1"/>
  <c r="AC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B100CB-EFD9-0143-B81E-C1EBF1DB8032}" keepAlive="1" name="Query - crypto_results_death (2)" description="Connection to the 'crypto_results_death (2)' query in the workbook." type="5" refreshedVersion="8" background="1" saveData="1">
    <dbPr connection="Provider=Microsoft.Mashup.OleDb.1;Data Source=$Workbook$;Location=&quot;crypto_results_death (2)&quot;;Extended Properties=&quot;&quot;" command="SELECT * FROM [crypto_results_death (2)]"/>
  </connection>
</connections>
</file>

<file path=xl/sharedStrings.xml><?xml version="1.0" encoding="utf-8"?>
<sst xmlns="http://schemas.openxmlformats.org/spreadsheetml/2006/main" count="101" uniqueCount="47">
  <si>
    <t>Post-Quantum</t>
  </si>
  <si>
    <t xml:space="preserve"> ML-DSA</t>
  </si>
  <si>
    <t>ML-KEM</t>
  </si>
  <si>
    <t xml:space="preserve"> SPHINCS+</t>
  </si>
  <si>
    <t xml:space="preserve"> CMAC</t>
  </si>
  <si>
    <t xml:space="preserve"> HMAC</t>
  </si>
  <si>
    <t>HQC</t>
  </si>
  <si>
    <t>Classic McEliece</t>
  </si>
  <si>
    <t>ECDH</t>
  </si>
  <si>
    <t>FFDH</t>
  </si>
  <si>
    <t>Classical</t>
  </si>
  <si>
    <t xml:space="preserve"> RSA</t>
  </si>
  <si>
    <t>Total</t>
  </si>
  <si>
    <t>Robustness</t>
  </si>
  <si>
    <t>Cost</t>
  </si>
  <si>
    <t>Performance</t>
  </si>
  <si>
    <t>Security (Integrity)</t>
  </si>
  <si>
    <t>Security (Confidentiality)</t>
  </si>
  <si>
    <t>Time Error Log Approx</t>
  </si>
  <si>
    <t>Log Time Total</t>
  </si>
  <si>
    <t>Time Total</t>
  </si>
  <si>
    <t>CPU Average Error</t>
  </si>
  <si>
    <t>CPU Average</t>
  </si>
  <si>
    <t>Spec2 Ver Time avg (ms) STD</t>
  </si>
  <si>
    <t>Spec2 Ver Time avg (ms)</t>
  </si>
  <si>
    <t>Spec2 Ver Approx CPU usage STD</t>
  </si>
  <si>
    <t>Spec2 Ver Approx CPU usage</t>
  </si>
  <si>
    <t>Spec2 Sign Time avg (ms) STD</t>
  </si>
  <si>
    <t>Spec2 Sign Time avg (ms)</t>
  </si>
  <si>
    <t>Spec2 Sign Approx CPU usage STD</t>
  </si>
  <si>
    <t>Spec2 Sign Approx CPU usage</t>
  </si>
  <si>
    <t>Spec2 Gen Time avg (ms) STD</t>
  </si>
  <si>
    <t>Spec2 Gen Time avg (ms)</t>
  </si>
  <si>
    <t>Spec2 Gen Approx CPU usage STD</t>
  </si>
  <si>
    <t>Spec2 Gen Approx CPU usage</t>
  </si>
  <si>
    <t>Spec1 Decap Time avg (ms) STD</t>
  </si>
  <si>
    <t>Spec1 Decap Time avg (ms)</t>
  </si>
  <si>
    <t>Spec1 Decap Approx CPU usage STD</t>
  </si>
  <si>
    <t>Spec1 Decap Approx CPU usage</t>
  </si>
  <si>
    <t>Spec1 Gen Time avg (ms) STD</t>
  </si>
  <si>
    <t>Spec1 Gen Time avg (ms)</t>
  </si>
  <si>
    <t>Spec1 Gen Approx CPU usage STD</t>
  </si>
  <si>
    <t>Spec1 Gen Approx CPU usage</t>
  </si>
  <si>
    <t>Combination Type</t>
  </si>
  <si>
    <t>Spec2</t>
  </si>
  <si>
    <t>Spec1</t>
  </si>
  <si>
    <t>Primitive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</si>
</sst>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3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D5E8ED-9CCE-48F4-9B76-51A94BE4F527}" autoFormatId="16" applyNumberFormats="0" applyBorderFormats="0" applyFontFormats="0" applyPatternFormats="0" applyAlignmentFormats="0" applyWidthHeightFormats="0">
  <queryTableRefresh nextId="41" unboundColumnsLeft="1" unboundColumnsRight="11">
    <queryTableFields count="35">
      <queryTableField id="38" dataBound="0" tableColumnId="37"/>
      <queryTableField id="1" name="Spec 1" tableColumnId="1"/>
      <queryTableField id="2" name="Spec 2" tableColumnId="2"/>
      <queryTableField id="39" dataBound="0" tableColumnId="38"/>
      <queryTableField id="3" name="Spec 1 Gen Approx CPU usage" tableColumnId="3"/>
      <queryTableField id="4" name="Spec 1 Gen Approx CPU usage STD" tableColumnId="4"/>
      <queryTableField id="5" name="Spec 1 Gen Time avg (ms)" tableColumnId="5"/>
      <queryTableField id="6" name="Spec 1 Gen Time avg (ms) STD" tableColumnId="6"/>
      <queryTableField id="7" name="Spec 1 Decap Approx CPU usage" tableColumnId="7"/>
      <queryTableField id="8" name="Spec 1 Decap Approx CPU usage STD" tableColumnId="8"/>
      <queryTableField id="9" name="Spec 1 Decap Time avg (ms)" tableColumnId="9"/>
      <queryTableField id="10" name="Spec 1 Decap Time avg (ms) STD" tableColumnId="10"/>
      <queryTableField id="11" name="Spec 2 Gen Approx CPU usage" tableColumnId="11"/>
      <queryTableField id="12" name="Spec 2 Gen Approx CPU usage STD" tableColumnId="12"/>
      <queryTableField id="13" name="Spec 2 Gen Time avg (ms)" tableColumnId="13"/>
      <queryTableField id="14" name="Spec 2 Gen Time avg (ms) STD" tableColumnId="14"/>
      <queryTableField id="15" name="Spec 2 Sign Approx CPU usage" tableColumnId="15"/>
      <queryTableField id="16" name="Spec 2 Sign Approx CPU usage STD" tableColumnId="16"/>
      <queryTableField id="17" name="Spec 2 Sign Time avg (ms)" tableColumnId="17"/>
      <queryTableField id="18" name="Spec 2 Sign Time avg (ms) STD" tableColumnId="18"/>
      <queryTableField id="19" name="Spec 2 Ver Approx CPU usage" tableColumnId="19"/>
      <queryTableField id="20" name="Spec 2 Ver Approx CPU usage STD" tableColumnId="20"/>
      <queryTableField id="21" name="Spec 2 Ver Time avg (ms)" tableColumnId="21"/>
      <queryTableField id="22" name="Spec 2 Ver Time avg (ms) STD" tableColumnId="22"/>
      <queryTableField id="23" dataBound="0" tableColumnId="23"/>
      <queryTableField id="24" dataBound="0" tableColumnId="24"/>
      <queryTableField id="25" dataBound="0" tableColumnId="25"/>
      <queryTableField id="28" dataBound="0" tableColumnId="28"/>
      <queryTableField id="30" dataBound="0" tableColumnId="30"/>
      <queryTableField id="32" dataBound="0" tableColumnId="31"/>
      <queryTableField id="33" dataBound="0" tableColumnId="32"/>
      <queryTableField id="34" dataBound="0" tableColumnId="33"/>
      <queryTableField id="35" dataBound="0" tableColumnId="34"/>
      <queryTableField id="36" dataBound="0" tableColumnId="35"/>
      <queryTableField id="37" dataBound="0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1506B-FAC0-0049-96BC-BB6AE9DBEDA9}" name="crypto_results_death3" displayName="crypto_results_death3" ref="A1:AI23" tableType="queryTable" totalsRowShown="0">
  <autoFilter ref="A1:AI23" xr:uid="{6170C07F-AFEB-4DB1-9695-5968045A653B}"/>
  <tableColumns count="35">
    <tableColumn id="37" xr3:uid="{3791A0D0-6733-478D-ACA8-094EB9594D20}" uniqueName="37" name="Primitive Combination" queryTableFieldId="38" dataDxfId="34">
      <calculatedColumnFormula>B2 &amp; " " &amp; C2</calculatedColumnFormula>
    </tableColumn>
    <tableColumn id="1" xr3:uid="{235D63EF-1C49-4F0C-B8EC-E07460F31118}" uniqueName="1" name="Spec1" queryTableFieldId="1" dataDxfId="33"/>
    <tableColumn id="2" xr3:uid="{8020A412-995E-475E-BC66-5F739F93DBF9}" uniqueName="2" name="Spec2" queryTableFieldId="2" dataDxfId="32"/>
    <tableColumn id="38" xr3:uid="{4BAE3F98-361A-4BCF-AEDB-A2379F9DEC66}" uniqueName="38" name="Combination Type" queryTableFieldId="39" dataDxfId="31"/>
    <tableColumn id="3" xr3:uid="{AA31A360-16FA-44C8-80A4-93D6AA854C93}" uniqueName="3" name="Spec1 Gen Approx CPU usage" queryTableFieldId="3" dataDxfId="30"/>
    <tableColumn id="4" xr3:uid="{6CB6F67B-5E2E-4A48-A7EE-F45DA8DEB9CD}" uniqueName="4" name="Spec1 Gen Approx CPU usage STD" queryTableFieldId="4" dataDxfId="29"/>
    <tableColumn id="5" xr3:uid="{C4661D8E-F910-4CA1-B0BD-076CB96C6AE8}" uniqueName="5" name="Spec1 Gen Time avg (ms)" queryTableFieldId="5" dataDxfId="28"/>
    <tableColumn id="6" xr3:uid="{EF9848EE-FC9A-491D-912D-9528684C1675}" uniqueName="6" name="Spec1 Gen Time avg (ms) STD" queryTableFieldId="6" dataDxfId="27"/>
    <tableColumn id="7" xr3:uid="{E392BA72-D526-419A-8E1F-3443D3B06547}" uniqueName="7" name="Spec1 Decap Approx CPU usage" queryTableFieldId="7" dataDxfId="26"/>
    <tableColumn id="8" xr3:uid="{359E9532-E1AE-47AD-8D42-0168146E2340}" uniqueName="8" name="Spec1 Decap Approx CPU usage STD" queryTableFieldId="8" dataDxfId="25"/>
    <tableColumn id="9" xr3:uid="{CFF5D119-CAD1-44CD-9653-F18D1ED15827}" uniqueName="9" name="Spec1 Decap Time avg (ms)" queryTableFieldId="9" dataDxfId="24"/>
    <tableColumn id="10" xr3:uid="{7809D14D-0268-4254-92D5-B056C6D4C693}" uniqueName="10" name="Spec1 Decap Time avg (ms) STD" queryTableFieldId="10" dataDxfId="23"/>
    <tableColumn id="11" xr3:uid="{CBA91B9D-F143-486B-B014-475CBE08A0A3}" uniqueName="11" name="Spec2 Gen Approx CPU usage" queryTableFieldId="11" dataDxfId="22"/>
    <tableColumn id="12" xr3:uid="{A674FE8D-529A-47B6-9F92-E9570827B7CE}" uniqueName="12" name="Spec2 Gen Approx CPU usage STD" queryTableFieldId="12" dataDxfId="21"/>
    <tableColumn id="13" xr3:uid="{00DE521E-B850-4D9B-9224-73E8E3C5A75C}" uniqueName="13" name="Spec2 Gen Time avg (ms)" queryTableFieldId="13" dataDxfId="20"/>
    <tableColumn id="14" xr3:uid="{710E6E7E-E4BF-447E-808B-FA575CA09EF1}" uniqueName="14" name="Spec2 Gen Time avg (ms) STD" queryTableFieldId="14" dataDxfId="19"/>
    <tableColumn id="15" xr3:uid="{CBB52566-84C2-4548-ABBB-B687113A2778}" uniqueName="15" name="Spec2 Sign Approx CPU usage" queryTableFieldId="15" dataDxfId="18"/>
    <tableColumn id="16" xr3:uid="{CD423E6B-E9EF-4A8B-85DE-9F9F092E36BF}" uniqueName="16" name="Spec2 Sign Approx CPU usage STD" queryTableFieldId="16" dataDxfId="17"/>
    <tableColumn id="17" xr3:uid="{3922029E-8314-4045-A7F4-57E98982545D}" uniqueName="17" name="Spec2 Sign Time avg (ms)" queryTableFieldId="17" dataDxfId="16"/>
    <tableColumn id="18" xr3:uid="{90E5C7F1-30AF-4C3B-9C05-0E1EF59BDA15}" uniqueName="18" name="Spec2 Sign Time avg (ms) STD" queryTableFieldId="18" dataDxfId="15"/>
    <tableColumn id="19" xr3:uid="{7370DDB7-DC55-41F8-B814-08FD01E858A1}" uniqueName="19" name="Spec2 Ver Approx CPU usage" queryTableFieldId="19" dataDxfId="14"/>
    <tableColumn id="20" xr3:uid="{666D8457-40E5-43DA-884F-76CBBFB71329}" uniqueName="20" name="Spec2 Ver Approx CPU usage STD" queryTableFieldId="20" dataDxfId="13"/>
    <tableColumn id="21" xr3:uid="{3840147D-C672-4B22-A1CE-947EB58D250B}" uniqueName="21" name="Spec2 Ver Time avg (ms)" queryTableFieldId="21" dataDxfId="12"/>
    <tableColumn id="22" xr3:uid="{C3862FE5-77B0-4C5D-A72C-1FBCCBB61E6C}" uniqueName="22" name="Spec2 Ver Time avg (ms) STD" queryTableFieldId="22" dataDxfId="11"/>
    <tableColumn id="23" xr3:uid="{D64A6EB8-0E1A-478A-A4C7-433EABD84BDD}" uniqueName="23" name="CPU Average" queryTableFieldId="23" dataDxfId="10">
      <calculatedColumnFormula>SUM(E2*G2,I2*K2,M2*O2,Q2*S2,U2*W2)/SUM(G2,K2,O2,S2,W2)</calculatedColumnFormula>
    </tableColumn>
    <tableColumn id="24" xr3:uid="{A435B1F2-44B3-4218-AEAB-EF03385AA744}" uniqueName="24" name="CPU Average Error" queryTableFieldId="24" dataDxfId="9">
      <calculatedColumnFormula>SQRT(1/AA2)</calculatedColumnFormula>
    </tableColumn>
    <tableColumn id="25" xr3:uid="{4621C3E4-465F-4153-985A-C61F470B1988}" uniqueName="25" name="Time Total" queryTableFieldId="25" dataDxfId="8">
      <calculatedColumnFormula>SUM(G2,K2,O2,S2,W2)</calculatedColumnFormula>
    </tableColumn>
    <tableColumn id="28" xr3:uid="{C7CBF1F3-62E2-4C5D-B4AD-6C11785F9F6B}" uniqueName="28" name="Log Time Total" queryTableFieldId="28" dataDxfId="7">
      <calculatedColumnFormula>LOG(AA2)</calculatedColumnFormula>
    </tableColumn>
    <tableColumn id="30" xr3:uid="{3854CD5E-9A3A-477C-A565-71533C478F39}" uniqueName="30" name="Time Error Log Approx" queryTableFieldId="30" dataDxfId="6">
      <calculatedColumnFormula>ABS((AB2/AA2)*(SQRT(SUM(H2*H2,L2*L2,P2*P2,T2*T2,X2*X2))))</calculatedColumnFormula>
    </tableColumn>
    <tableColumn id="31" xr3:uid="{4917686D-4FE7-42BA-A513-1CC3F0FD976C}" uniqueName="31" name="Security (Confidentiality)" queryTableFieldId="32" dataDxfId="5"/>
    <tableColumn id="32" xr3:uid="{147F113A-D428-4663-8080-4176A22160FF}" uniqueName="32" name="Security (Integrity)" queryTableFieldId="33" dataDxfId="4"/>
    <tableColumn id="33" xr3:uid="{9CAECC90-187A-43A3-9224-7E9B433FE238}" uniqueName="33" name="Performance" queryTableFieldId="34" dataDxfId="3"/>
    <tableColumn id="34" xr3:uid="{B564E564-767F-41BE-847C-9E6687D97941}" uniqueName="34" name="Cost" queryTableFieldId="35" dataDxfId="2"/>
    <tableColumn id="35" xr3:uid="{F40675DB-38D1-4993-A845-5C6A08C08ABF}" uniqueName="35" name="Robustness" queryTableFieldId="36" dataDxfId="1"/>
    <tableColumn id="36" xr3:uid="{BCB40BD8-FEC8-4A2B-BC55-FE49AA02AB58}" uniqueName="36" name="Total" queryTableFieldId="37" dataDxfId="0">
      <calculatedColumnFormula>SUM(AD2:AH2)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E0B0-F08D-6845-9FF7-FA2EB721BF98}">
  <dimension ref="A1:AI34"/>
  <sheetViews>
    <sheetView tabSelected="1" zoomScale="83" workbookViewId="0">
      <pane xSplit="1" topLeftCell="W1" activePane="topRight" state="frozen"/>
      <selection pane="topRight" activeCell="W37" sqref="W37"/>
    </sheetView>
  </sheetViews>
  <sheetFormatPr baseColWidth="10" defaultColWidth="8.83203125" defaultRowHeight="15" x14ac:dyDescent="0.2"/>
  <cols>
    <col min="1" max="1" width="26.5" customWidth="1"/>
    <col min="2" max="2" width="18.6640625" customWidth="1"/>
    <col min="3" max="3" width="12.5" customWidth="1"/>
    <col min="4" max="4" width="19.5" customWidth="1"/>
    <col min="5" max="5" width="24.5" customWidth="1"/>
    <col min="6" max="6" width="32.83203125" customWidth="1"/>
    <col min="7" max="7" width="31.83203125" bestFit="1" customWidth="1"/>
    <col min="8" max="8" width="24.5" bestFit="1" customWidth="1"/>
    <col min="9" max="9" width="28.1640625" bestFit="1" customWidth="1"/>
    <col min="10" max="10" width="30.1640625" bestFit="1" customWidth="1"/>
    <col min="11" max="11" width="33.83203125" bestFit="1" customWidth="1"/>
    <col min="12" max="12" width="26.1640625" customWidth="1"/>
    <col min="13" max="13" width="30.1640625" bestFit="1" customWidth="1"/>
    <col min="14" max="14" width="28.1640625" bestFit="1" customWidth="1"/>
    <col min="15" max="15" width="31.83203125" bestFit="1" customWidth="1"/>
    <col min="16" max="16" width="24.5" bestFit="1" customWidth="1"/>
    <col min="17" max="17" width="28.1640625" bestFit="1" customWidth="1"/>
    <col min="18" max="18" width="28.5" bestFit="1" customWidth="1"/>
    <col min="19" max="19" width="32.1640625" bestFit="1" customWidth="1"/>
    <col min="20" max="20" width="24.6640625" bestFit="1" customWidth="1"/>
    <col min="21" max="21" width="28.5" bestFit="1" customWidth="1"/>
    <col min="22" max="22" width="27.5" bestFit="1" customWidth="1"/>
    <col min="23" max="23" width="31.1640625" bestFit="1" customWidth="1"/>
    <col min="24" max="24" width="23.83203125" bestFit="1" customWidth="1"/>
    <col min="25" max="25" width="27.5" bestFit="1" customWidth="1"/>
    <col min="27" max="27" width="19.1640625" customWidth="1"/>
    <col min="28" max="28" width="13.33203125" customWidth="1"/>
    <col min="29" max="29" width="14.83203125" customWidth="1"/>
  </cols>
  <sheetData>
    <row r="1" spans="1:35" x14ac:dyDescent="0.2">
      <c r="A1" t="s">
        <v>46</v>
      </c>
      <c r="B1" t="s">
        <v>45</v>
      </c>
      <c r="C1" t="s">
        <v>44</v>
      </c>
      <c r="D1" t="s">
        <v>43</v>
      </c>
      <c r="E1" t="s">
        <v>42</v>
      </c>
      <c r="F1" t="s">
        <v>41</v>
      </c>
      <c r="G1" t="s">
        <v>40</v>
      </c>
      <c r="H1" t="s">
        <v>39</v>
      </c>
      <c r="I1" t="s">
        <v>38</v>
      </c>
      <c r="J1" t="s">
        <v>37</v>
      </c>
      <c r="K1" t="s">
        <v>36</v>
      </c>
      <c r="L1" t="s">
        <v>35</v>
      </c>
      <c r="M1" t="s">
        <v>34</v>
      </c>
      <c r="N1" t="s">
        <v>33</v>
      </c>
      <c r="O1" t="s">
        <v>32</v>
      </c>
      <c r="P1" t="s">
        <v>31</v>
      </c>
      <c r="Q1" t="s">
        <v>30</v>
      </c>
      <c r="R1" t="s">
        <v>29</v>
      </c>
      <c r="S1" t="s">
        <v>28</v>
      </c>
      <c r="T1" t="s">
        <v>27</v>
      </c>
      <c r="U1" t="s">
        <v>26</v>
      </c>
      <c r="V1" t="s">
        <v>25</v>
      </c>
      <c r="W1" t="s">
        <v>24</v>
      </c>
      <c r="X1" t="s">
        <v>23</v>
      </c>
      <c r="Y1" t="s">
        <v>22</v>
      </c>
      <c r="Z1" t="s">
        <v>21</v>
      </c>
      <c r="AA1" t="s">
        <v>20</v>
      </c>
      <c r="AB1" t="s">
        <v>19</v>
      </c>
      <c r="AC1" t="s">
        <v>18</v>
      </c>
      <c r="AD1" t="s">
        <v>17</v>
      </c>
      <c r="AE1" t="s">
        <v>16</v>
      </c>
      <c r="AF1" t="s">
        <v>15</v>
      </c>
      <c r="AG1" t="s">
        <v>14</v>
      </c>
      <c r="AH1" t="s">
        <v>13</v>
      </c>
      <c r="AI1" t="s">
        <v>12</v>
      </c>
    </row>
    <row r="2" spans="1:35" x14ac:dyDescent="0.2">
      <c r="A2" t="str">
        <f>B2 &amp; " " &amp; C2</f>
        <v>FFDH  RSA</v>
      </c>
      <c r="B2" t="s">
        <v>9</v>
      </c>
      <c r="C2" t="s">
        <v>11</v>
      </c>
      <c r="D2" t="s">
        <v>10</v>
      </c>
      <c r="E2" s="1">
        <v>15.8</v>
      </c>
      <c r="F2" s="1">
        <v>0</v>
      </c>
      <c r="G2" s="1">
        <v>13.827491799998825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11.8</v>
      </c>
      <c r="N2" s="1">
        <v>0</v>
      </c>
      <c r="O2" s="1">
        <v>0.29820520000066603</v>
      </c>
      <c r="P2" s="1">
        <v>0</v>
      </c>
      <c r="Q2" s="1">
        <v>2.5</v>
      </c>
      <c r="R2" s="1">
        <v>1.4864709750264078</v>
      </c>
      <c r="S2" s="1">
        <v>0.58915199995681178</v>
      </c>
      <c r="T2" s="1">
        <v>1.5304416316763741E-2</v>
      </c>
      <c r="U2" s="1">
        <v>1.5</v>
      </c>
      <c r="V2" s="1">
        <v>1.1135075167680681</v>
      </c>
      <c r="W2" s="1">
        <v>5.0871999919763766E-2</v>
      </c>
      <c r="X2" s="1">
        <v>2.7765751803590106E-3</v>
      </c>
      <c r="Y2" s="1">
        <f>SUM(E2*G2,I2*K2,M2*O2,Q2*S2,U2*W2)/SUM(G2,K2,O2,S2,W2)</f>
        <v>15.139279673619543</v>
      </c>
      <c r="Z2" s="1">
        <f>SQRT(1/AA2)</f>
        <v>0.26023917347155656</v>
      </c>
      <c r="AA2" s="1">
        <f>SUM(G2,K2,O2,S2,W2)</f>
        <v>14.765720999876066</v>
      </c>
      <c r="AB2" s="1">
        <f>LOG(AA2)</f>
        <v>1.1692546581160403</v>
      </c>
      <c r="AC2" s="1">
        <f>ABS((AB2/AA2)*(SQRT(SUM(H2*H2,L2*L2,P2*P2,T2*T2,X2*X2))))</f>
        <v>1.2316955658271829E-3</v>
      </c>
      <c r="AD2" s="1">
        <v>1</v>
      </c>
      <c r="AE2" s="1">
        <v>3</v>
      </c>
      <c r="AF2" s="1">
        <v>3</v>
      </c>
      <c r="AG2" s="1">
        <v>3</v>
      </c>
      <c r="AH2" s="1">
        <v>3</v>
      </c>
      <c r="AI2" s="1">
        <f>SUM(AD2:AH2)</f>
        <v>13</v>
      </c>
    </row>
    <row r="3" spans="1:35" x14ac:dyDescent="0.2">
      <c r="A3" t="str">
        <f>B3 &amp; " " &amp; C3</f>
        <v>FFDH  HMAC</v>
      </c>
      <c r="B3" t="s">
        <v>9</v>
      </c>
      <c r="C3" t="s">
        <v>5</v>
      </c>
      <c r="D3" t="s">
        <v>10</v>
      </c>
      <c r="E3" s="1">
        <v>21</v>
      </c>
      <c r="F3" s="1">
        <v>0</v>
      </c>
      <c r="G3" s="1">
        <v>4.0801471999984642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>
        <v>0.70352647068144847</v>
      </c>
      <c r="S3" s="1">
        <v>1.8776999895635527E-2</v>
      </c>
      <c r="T3" s="1">
        <v>4.9479891409725911E-4</v>
      </c>
      <c r="U3" s="1">
        <v>2.633</v>
      </c>
      <c r="V3" s="1">
        <v>1.512427345278931</v>
      </c>
      <c r="W3" s="1">
        <v>1.1041000143450219E-2</v>
      </c>
      <c r="X3" s="1">
        <v>8.7102993072451422E-4</v>
      </c>
      <c r="Y3" s="1">
        <f>SUM(E3*G3,I3*K3,M3*O3,Q3*S3,U3*W3)/SUM(G3,K3,O3,S3,W3)</f>
        <v>20.859285901607588</v>
      </c>
      <c r="Z3" s="1">
        <f>SQRT(1/AA3)</f>
        <v>0.4932657119473538</v>
      </c>
      <c r="AA3" s="1">
        <f>SUM(G3,K3,O3,S3,W3)</f>
        <v>4.1099652000375499</v>
      </c>
      <c r="AB3" s="1">
        <f>LOG(AA3)</f>
        <v>0.61383814462652009</v>
      </c>
      <c r="AC3" s="1">
        <f>ABS((AB3/AA3)*(SQRT(SUM(H3*H3,L3*L3,P3*P3,T3*T3,X3*X3))))</f>
        <v>1.4961617599314176E-4</v>
      </c>
      <c r="AD3" s="1">
        <v>1</v>
      </c>
      <c r="AE3" s="1">
        <v>5</v>
      </c>
      <c r="AF3" s="1">
        <v>3</v>
      </c>
      <c r="AG3" s="1">
        <v>2</v>
      </c>
      <c r="AH3" s="1">
        <v>5</v>
      </c>
      <c r="AI3" s="1">
        <f>SUM(AD3:AH3)</f>
        <v>16</v>
      </c>
    </row>
    <row r="4" spans="1:35" x14ac:dyDescent="0.2">
      <c r="A4" t="str">
        <f>B4 &amp; " " &amp; C4</f>
        <v>FFDH  CMAC</v>
      </c>
      <c r="B4" t="s">
        <v>9</v>
      </c>
      <c r="C4" t="s">
        <v>4</v>
      </c>
      <c r="D4" t="s">
        <v>10</v>
      </c>
      <c r="E4" s="1">
        <v>16.899999999999999</v>
      </c>
      <c r="F4" s="1">
        <v>0</v>
      </c>
      <c r="G4" s="1">
        <v>14.248708200000692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3</v>
      </c>
      <c r="R4" s="1">
        <v>1.7144660799776528</v>
      </c>
      <c r="S4" s="1">
        <v>1.4845000077912118E-2</v>
      </c>
      <c r="T4" s="1">
        <v>1.6245231626288701E-3</v>
      </c>
      <c r="U4" s="1">
        <v>1.5</v>
      </c>
      <c r="V4" s="1">
        <v>1.1135075167680681</v>
      </c>
      <c r="W4" s="1">
        <v>8.6710000687162392E-3</v>
      </c>
      <c r="X4" s="1">
        <v>5.2808841265688058E-4</v>
      </c>
      <c r="Y4" s="1">
        <f>SUM(E4*G4,I4*K4,M4*O4,Q4*S4,U4*W4)/SUM(G4,K4,O4,S4,W4)</f>
        <v>16.876185989137017</v>
      </c>
      <c r="Z4" s="1">
        <f>SQRT(1/AA4)</f>
        <v>0.26470013958863631</v>
      </c>
      <c r="AA4" s="1">
        <f>SUM(G4,K4,O4,S4,W4)</f>
        <v>14.272224200147321</v>
      </c>
      <c r="AB4" s="1">
        <f>LOG(AA4)</f>
        <v>1.1544916593500161</v>
      </c>
      <c r="AC4" s="1">
        <f>ABS((AB4/AA4)*(SQRT(SUM(H4*H4,L4*L4,P4*P4,T4*T4,X4*X4))))</f>
        <v>1.381778011545253E-4</v>
      </c>
      <c r="AD4" s="1">
        <v>1</v>
      </c>
      <c r="AE4" s="1">
        <v>5</v>
      </c>
      <c r="AF4" s="1">
        <v>3</v>
      </c>
      <c r="AG4" s="1">
        <v>2</v>
      </c>
      <c r="AH4" s="1">
        <v>3</v>
      </c>
      <c r="AI4" s="1">
        <f>SUM(AD4:AH4)</f>
        <v>14</v>
      </c>
    </row>
    <row r="5" spans="1:35" x14ac:dyDescent="0.2">
      <c r="A5" t="str">
        <f>B5 &amp; " " &amp; C5</f>
        <v>ECDH  RSA</v>
      </c>
      <c r="B5" t="s">
        <v>8</v>
      </c>
      <c r="C5" t="s">
        <v>11</v>
      </c>
      <c r="D5" t="s">
        <v>10</v>
      </c>
      <c r="E5" s="1">
        <v>0</v>
      </c>
      <c r="F5" s="1">
        <v>0</v>
      </c>
      <c r="G5" s="1">
        <v>2.6591999994707294E-3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14.5</v>
      </c>
      <c r="N5" s="1">
        <v>0</v>
      </c>
      <c r="O5" s="1">
        <v>0.110945500000525</v>
      </c>
      <c r="P5" s="1">
        <v>0</v>
      </c>
      <c r="Q5" s="1">
        <v>3.3330000000000002</v>
      </c>
      <c r="R5" s="1">
        <v>1.4650128795931239</v>
      </c>
      <c r="S5" s="1">
        <v>0.48461800000950461</v>
      </c>
      <c r="T5" s="1">
        <v>1.2779422012839336E-2</v>
      </c>
      <c r="U5" s="1">
        <v>1.6669999999999998</v>
      </c>
      <c r="V5" s="1">
        <v>1.1964172568653679</v>
      </c>
      <c r="W5" s="1">
        <v>3.7943000061204657E-2</v>
      </c>
      <c r="X5" s="1">
        <v>1.6283487602622639E-3</v>
      </c>
      <c r="Y5" s="1">
        <f>SUM(E5*G5,I5*K5,M5*O5,Q5*S5,U5*W5)/SUM(G5,K5,O5,S5,W5)</f>
        <v>5.1671954724625557</v>
      </c>
      <c r="Z5" s="1">
        <f>SQRT(1/AA5)</f>
        <v>1.2537613429061596</v>
      </c>
      <c r="AA5" s="1">
        <f>SUM(G5,K5,O5,S5,W5)</f>
        <v>0.63616570007070505</v>
      </c>
      <c r="AB5" s="1">
        <f>LOG(AA5)</f>
        <v>-0.19642975030503679</v>
      </c>
      <c r="AC5" s="1">
        <f>ABS((AB5/AA5)*(SQRT(SUM(H5*H5,L5*L5,P5*P5,T5*T5,X5*X5))))</f>
        <v>3.9778230675764368E-3</v>
      </c>
      <c r="AD5" s="1">
        <v>1</v>
      </c>
      <c r="AE5" s="1">
        <v>3</v>
      </c>
      <c r="AF5" s="1">
        <v>4</v>
      </c>
      <c r="AG5" s="1">
        <v>5</v>
      </c>
      <c r="AH5" s="1">
        <v>3</v>
      </c>
      <c r="AI5" s="1">
        <f>SUM(AD5:AH5)</f>
        <v>16</v>
      </c>
    </row>
    <row r="6" spans="1:35" x14ac:dyDescent="0.2">
      <c r="A6" t="str">
        <f>B6 &amp; " " &amp; C6</f>
        <v>ECDH  HMAC</v>
      </c>
      <c r="B6" t="s">
        <v>8</v>
      </c>
      <c r="C6" t="s">
        <v>5</v>
      </c>
      <c r="D6" t="s">
        <v>10</v>
      </c>
      <c r="E6" s="1">
        <v>0</v>
      </c>
      <c r="F6" s="1">
        <v>0</v>
      </c>
      <c r="G6" s="1">
        <v>2.7034999984607566E-3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4</v>
      </c>
      <c r="R6" s="1">
        <v>1.9694638556693238</v>
      </c>
      <c r="S6" s="1">
        <v>1.4733999960299116E-2</v>
      </c>
      <c r="T6" s="1">
        <v>3.8152859162460197E-4</v>
      </c>
      <c r="U6" s="1">
        <v>0</v>
      </c>
      <c r="V6" s="1">
        <v>0</v>
      </c>
      <c r="W6" s="1">
        <v>9.2749997565988451E-3</v>
      </c>
      <c r="X6" s="1">
        <v>6.3587428665548844E-4</v>
      </c>
      <c r="Y6" s="1">
        <f>SUM(E6*G6,I6*K6,M6*O6,Q6*S6,U6*W6)/SUM(G6,K6,O6,S6,W6)</f>
        <v>2.206307925847554</v>
      </c>
      <c r="Z6" s="1">
        <f>SQRT(1/AA6)</f>
        <v>6.1184685880241796</v>
      </c>
      <c r="AA6" s="1">
        <f>SUM(G6,K6,O6,S6,W6)</f>
        <v>2.6712499715358717E-2</v>
      </c>
      <c r="AB6" s="1">
        <f>LOG(AA6)</f>
        <v>-1.5732854694556004</v>
      </c>
      <c r="AC6" s="1">
        <f>ABS((AB6/AA6)*(SQRT(SUM(H6*H6,L6*L6,P6*P6,T6*T6,X6*X6))))</f>
        <v>4.3675202764119653E-2</v>
      </c>
      <c r="AD6" s="1">
        <v>1</v>
      </c>
      <c r="AE6" s="1">
        <v>5</v>
      </c>
      <c r="AF6" s="1">
        <v>5</v>
      </c>
      <c r="AG6" s="1">
        <v>5</v>
      </c>
      <c r="AH6" s="1">
        <v>4</v>
      </c>
      <c r="AI6" s="1">
        <f>SUM(AD6:AH6)</f>
        <v>20</v>
      </c>
    </row>
    <row r="7" spans="1:35" x14ac:dyDescent="0.2">
      <c r="A7" t="str">
        <f>B7 &amp; " " &amp; C7</f>
        <v>ECDH  CMAC</v>
      </c>
      <c r="B7" t="s">
        <v>8</v>
      </c>
      <c r="C7" t="s">
        <v>4</v>
      </c>
      <c r="D7" t="s">
        <v>10</v>
      </c>
      <c r="E7" s="1">
        <v>75</v>
      </c>
      <c r="F7" s="1">
        <v>0</v>
      </c>
      <c r="G7" s="1">
        <v>2.574799997091759E-3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2</v>
      </c>
      <c r="R7" s="1">
        <v>1.4070529413628969</v>
      </c>
      <c r="S7" s="1">
        <v>1.311999985773582E-2</v>
      </c>
      <c r="T7" s="1">
        <v>4.1948983695913188E-4</v>
      </c>
      <c r="U7" s="1">
        <v>1</v>
      </c>
      <c r="V7" s="1">
        <v>1</v>
      </c>
      <c r="W7" s="1">
        <v>8.7229999553528614E-3</v>
      </c>
      <c r="X7" s="1">
        <v>6.7339009153874734E-4</v>
      </c>
      <c r="Y7" s="1">
        <f>SUM(E7*G7,I7*K7,M7*O7,Q7*S7,U7*W7)/SUM(G7,K7,O7,S7,W7)</f>
        <v>9.3404402208923276</v>
      </c>
      <c r="Z7" s="1">
        <f>SQRT(1/AA7)</f>
        <v>6.3995101995133883</v>
      </c>
      <c r="AA7" s="1">
        <f>SUM(G7,K7,O7,S7,W7)</f>
        <v>2.4417799810180441E-2</v>
      </c>
      <c r="AB7" s="1">
        <f>LOG(AA7)</f>
        <v>-1.6122934711587849</v>
      </c>
      <c r="AC7" s="1">
        <f>ABS((AB7/AA7)*(SQRT(SUM(H7*H7,L7*L7,P7*P7,T7*T7,X7*X7))))</f>
        <v>5.2385354191369964E-2</v>
      </c>
      <c r="AD7" s="1">
        <v>1</v>
      </c>
      <c r="AE7" s="1">
        <v>5</v>
      </c>
      <c r="AF7" s="1">
        <v>5</v>
      </c>
      <c r="AG7" s="1">
        <v>4</v>
      </c>
      <c r="AH7" s="1">
        <v>3</v>
      </c>
      <c r="AI7" s="1">
        <f>SUM(AD7:AH7)</f>
        <v>18</v>
      </c>
    </row>
    <row r="8" spans="1:35" x14ac:dyDescent="0.2">
      <c r="A8" t="str">
        <f>B8 &amp; " " &amp; C8</f>
        <v>FFDH  SPHINCS+</v>
      </c>
      <c r="B8" t="s">
        <v>9</v>
      </c>
      <c r="C8" t="s">
        <v>3</v>
      </c>
      <c r="D8" t="s">
        <v>0</v>
      </c>
      <c r="E8" s="1">
        <v>26.1</v>
      </c>
      <c r="F8" s="1">
        <v>0</v>
      </c>
      <c r="G8" s="1">
        <v>0.77743230000123731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17.695999999999998</v>
      </c>
      <c r="R8" s="1">
        <v>0.8742303050470317</v>
      </c>
      <c r="S8" s="1">
        <v>991.25046500012104</v>
      </c>
      <c r="T8" s="1">
        <v>9.5123490515311087</v>
      </c>
      <c r="U8" s="1">
        <v>6.1040000000000001</v>
      </c>
      <c r="V8" s="1">
        <v>2.099625228703947</v>
      </c>
      <c r="W8" s="1">
        <v>1.2448039998707827</v>
      </c>
      <c r="X8" s="1">
        <v>2.5887238800590909E-2</v>
      </c>
      <c r="Y8" s="1">
        <f>SUM(E8*G8,I8*K8,M8*O8,Q8*S8,U8*W8)/SUM(G8,K8,O8,S8,W8)</f>
        <v>17.688050293029335</v>
      </c>
      <c r="Z8" s="1">
        <f>SQRT(1/AA8)</f>
        <v>3.172968423675452E-2</v>
      </c>
      <c r="AA8" s="1">
        <f>SUM(G8,K8,O8,S8,W8)</f>
        <v>993.27270129999306</v>
      </c>
      <c r="AB8" s="1">
        <f>LOG(AA8)</f>
        <v>2.997068499664127</v>
      </c>
      <c r="AC8" s="1">
        <f>ABS((AB8/AA8)*(SQRT(SUM(H8*H8,L8*L8,P8*P8,T8*T8,X8*X8))))</f>
        <v>2.8702356598581544E-2</v>
      </c>
      <c r="AD8" s="1">
        <v>1</v>
      </c>
      <c r="AE8" s="1">
        <v>3</v>
      </c>
      <c r="AF8" s="1">
        <v>1</v>
      </c>
      <c r="AG8" s="1">
        <v>2</v>
      </c>
      <c r="AH8" s="1">
        <v>5</v>
      </c>
      <c r="AI8" s="1">
        <f>SUM(AD8:AH8)</f>
        <v>12</v>
      </c>
    </row>
    <row r="9" spans="1:35" x14ac:dyDescent="0.2">
      <c r="A9" t="str">
        <f>B9 &amp; " " &amp; C9</f>
        <v>FFDH  ML-DSA</v>
      </c>
      <c r="B9" t="s">
        <v>9</v>
      </c>
      <c r="C9" t="s">
        <v>1</v>
      </c>
      <c r="D9" t="s">
        <v>0</v>
      </c>
      <c r="E9" s="1">
        <v>15.6</v>
      </c>
      <c r="F9" s="1">
        <v>0</v>
      </c>
      <c r="G9" s="1">
        <v>11.662663999999495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6.0750000000000002</v>
      </c>
      <c r="R9" s="1">
        <v>2.240825684312536</v>
      </c>
      <c r="S9" s="1">
        <v>0.85187899981974624</v>
      </c>
      <c r="T9" s="1">
        <v>3.0522048306903117E-2</v>
      </c>
      <c r="U9" s="1">
        <v>2.3330000000000002</v>
      </c>
      <c r="V9" s="1">
        <v>1.4412607100533319</v>
      </c>
      <c r="W9" s="1">
        <v>0.18879999974160455</v>
      </c>
      <c r="X9" s="1">
        <v>7.0606031419309591E-4</v>
      </c>
      <c r="Y9" s="1">
        <f>SUM(E9*G9,I9*K9,M9*O9,Q9*S9,U9*W9)/SUM(G9,K9,O9,S9,W9)</f>
        <v>14.764081685409735</v>
      </c>
      <c r="Z9" s="1">
        <f>SQRT(1/AA9)</f>
        <v>0.28056984209994273</v>
      </c>
      <c r="AA9" s="1">
        <f>SUM(G9,K9,O9,S9,W9)</f>
        <v>12.703342999560846</v>
      </c>
      <c r="AB9" s="1">
        <f>LOG(AA9)</f>
        <v>1.1039180245159794</v>
      </c>
      <c r="AC9" s="1">
        <f>ABS((AB9/AA9)*(SQRT(SUM(H9*H9,L9*L9,P9*P9,T9*T9,X9*X9))))</f>
        <v>2.653069612890442E-3</v>
      </c>
      <c r="AD9" s="1">
        <v>1</v>
      </c>
      <c r="AE9" s="1">
        <v>5</v>
      </c>
      <c r="AF9" s="1">
        <v>3</v>
      </c>
      <c r="AG9" s="1">
        <v>3</v>
      </c>
      <c r="AH9" s="1">
        <v>5</v>
      </c>
      <c r="AI9" s="1">
        <f>SUM(AD9:AH9)</f>
        <v>17</v>
      </c>
    </row>
    <row r="10" spans="1:35" x14ac:dyDescent="0.2">
      <c r="A10" t="str">
        <f>B10 &amp; " " &amp; C10</f>
        <v>ECDH  SPHINCS+</v>
      </c>
      <c r="B10" t="s">
        <v>8</v>
      </c>
      <c r="C10" t="s">
        <v>3</v>
      </c>
      <c r="D10" t="s">
        <v>0</v>
      </c>
      <c r="E10" s="1">
        <v>0</v>
      </c>
      <c r="F10" s="1">
        <v>0</v>
      </c>
      <c r="G10" s="1">
        <v>2.5984999992942903E-3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18.149000000000001</v>
      </c>
      <c r="R10" s="1">
        <v>0.78253859749258159</v>
      </c>
      <c r="S10" s="1">
        <v>1919.1454420001173</v>
      </c>
      <c r="T10" s="1">
        <v>77.974175591816888</v>
      </c>
      <c r="U10" s="1">
        <v>15.117000000000001</v>
      </c>
      <c r="V10" s="1">
        <v>2.9106478347924223</v>
      </c>
      <c r="W10" s="1">
        <v>3.1807120000303257</v>
      </c>
      <c r="X10" s="1">
        <v>4.7238296706136815E-2</v>
      </c>
      <c r="Y10" s="1">
        <f>SUM(E10*G10,I10*K10,M10*O10,Q10*S10,U10*W10)/SUM(G10,K10,O10,S10,W10)</f>
        <v>18.143958677620581</v>
      </c>
      <c r="Z10" s="1">
        <f>SQRT(1/AA10)</f>
        <v>2.2807945634388385E-2</v>
      </c>
      <c r="AA10" s="1">
        <f>SUM(G10,K10,O10,S10,W10)</f>
        <v>1922.3287525001469</v>
      </c>
      <c r="AB10" s="1">
        <f>LOG(AA10)</f>
        <v>3.2838276617859399</v>
      </c>
      <c r="AC10" s="1">
        <f>ABS((AB10/AA10)*(SQRT(SUM(H10*H10,L10*L10,P10*P10,T10*T10,X10*X10))))</f>
        <v>0.1331997980930445</v>
      </c>
      <c r="AD10" s="1">
        <v>1</v>
      </c>
      <c r="AE10" s="1">
        <v>3</v>
      </c>
      <c r="AF10" s="1">
        <v>1</v>
      </c>
      <c r="AG10" s="1">
        <v>2</v>
      </c>
      <c r="AH10" s="1">
        <v>4</v>
      </c>
      <c r="AI10" s="1">
        <f>SUM(AD10:AH10)</f>
        <v>11</v>
      </c>
    </row>
    <row r="11" spans="1:35" x14ac:dyDescent="0.2">
      <c r="A11" t="str">
        <f>B11 &amp; " " &amp; C11</f>
        <v>ECDH  ML-DSA</v>
      </c>
      <c r="B11" t="s">
        <v>8</v>
      </c>
      <c r="C11" t="s">
        <v>1</v>
      </c>
      <c r="D11" t="s">
        <v>0</v>
      </c>
      <c r="E11" s="1">
        <v>66.7</v>
      </c>
      <c r="F11" s="1">
        <v>0</v>
      </c>
      <c r="G11" s="1">
        <v>8.7619999976595864E-3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9.4169999999999998</v>
      </c>
      <c r="R11" s="1">
        <v>2.3229522556045312</v>
      </c>
      <c r="S11" s="1">
        <v>2.9449659998863353</v>
      </c>
      <c r="T11" s="1">
        <v>8.9658330077461199E-2</v>
      </c>
      <c r="U11" s="1">
        <v>2.5</v>
      </c>
      <c r="V11" s="1">
        <v>1.4433756729740643</v>
      </c>
      <c r="W11" s="1">
        <v>0.6110210002225358</v>
      </c>
      <c r="X11" s="1">
        <v>9.2594256164886327E-3</v>
      </c>
      <c r="Y11" s="1">
        <f>SUM(E11*G11,I11*K11,M11*O11,Q11*S11,U11*W11)/SUM(G11,K11,O11,S11,W11)</f>
        <v>8.3721806838119477</v>
      </c>
      <c r="Z11" s="1">
        <f>SQRT(1/AA11)</f>
        <v>0.5296457869671829</v>
      </c>
      <c r="AA11" s="1">
        <f>SUM(G11,K11,O11,S11,W11)</f>
        <v>3.5647490001065307</v>
      </c>
      <c r="AB11" s="1">
        <f>LOG(AA11)</f>
        <v>0.55202895586914258</v>
      </c>
      <c r="AC11" s="1">
        <f>ABS((AB11/AA11)*(SQRT(SUM(H11*H11,L11*L11,P11*P11,T11*T11,X11*X11))))</f>
        <v>1.395813191253985E-2</v>
      </c>
      <c r="AD11" s="1">
        <v>1</v>
      </c>
      <c r="AE11" s="1">
        <v>5</v>
      </c>
      <c r="AF11" s="1">
        <v>3</v>
      </c>
      <c r="AG11" s="1">
        <v>4</v>
      </c>
      <c r="AH11" s="1">
        <v>4</v>
      </c>
      <c r="AI11" s="1">
        <f>SUM(AD11:AH11)</f>
        <v>17</v>
      </c>
    </row>
    <row r="12" spans="1:35" x14ac:dyDescent="0.2">
      <c r="A12" t="str">
        <f>B12 &amp; " " &amp; C12</f>
        <v>Classic McEliece  HMAC</v>
      </c>
      <c r="B12" t="s">
        <v>7</v>
      </c>
      <c r="C12" t="s">
        <v>5</v>
      </c>
      <c r="D12" t="s">
        <v>0</v>
      </c>
      <c r="E12" s="1">
        <v>21.245999999999999</v>
      </c>
      <c r="F12" s="1">
        <v>0.68499859175553801</v>
      </c>
      <c r="G12" s="1">
        <v>1265.0561930001277</v>
      </c>
      <c r="H12" s="1">
        <v>97.355070067921005</v>
      </c>
      <c r="I12" s="1">
        <v>19.890999999999998</v>
      </c>
      <c r="J12" s="1">
        <v>0.92576705296939299</v>
      </c>
      <c r="K12" s="1">
        <v>206.30712500002099</v>
      </c>
      <c r="L12" s="1">
        <v>1.91045953569083</v>
      </c>
      <c r="M12" s="1">
        <v>0</v>
      </c>
      <c r="N12" s="1">
        <v>0</v>
      </c>
      <c r="O12" s="1">
        <v>0</v>
      </c>
      <c r="P12" s="1">
        <v>0</v>
      </c>
      <c r="Q12" s="1">
        <v>2.75</v>
      </c>
      <c r="R12" s="1">
        <v>1.4166666666666667</v>
      </c>
      <c r="S12" s="1">
        <v>8.8141999949584715E-2</v>
      </c>
      <c r="T12" s="1">
        <v>1.974126654832009E-3</v>
      </c>
      <c r="U12" s="1">
        <v>0</v>
      </c>
      <c r="V12" s="1">
        <v>0</v>
      </c>
      <c r="W12" s="1">
        <v>5.3014999975857791E-2</v>
      </c>
      <c r="X12" s="1">
        <v>1.7640273963752061E-3</v>
      </c>
      <c r="Y12" s="1">
        <f>SUM(E12*G12,I12*K12,M12*O12,Q12*S12,U12*W12)/SUM(G12,K12,O12,S12,W12)</f>
        <v>21.054153634398176</v>
      </c>
      <c r="Z12" s="1">
        <f>SQRT(1/AA12)</f>
        <v>2.6068689927953061E-2</v>
      </c>
      <c r="AA12" s="1">
        <f>SUM(G12,K12,O12,S12,W12)</f>
        <v>1471.5044750000741</v>
      </c>
      <c r="AB12" s="1">
        <f>LOG(AA12)</f>
        <v>3.1677615871728935</v>
      </c>
      <c r="AC12" s="1">
        <f>ABS((AB12/AA12)*(SQRT(SUM(H12*H12,L12*L12,P12*P12,T12*T12,X12*X12))))</f>
        <v>0.20962017502249178</v>
      </c>
      <c r="AD12" s="1">
        <v>5</v>
      </c>
      <c r="AE12" s="1">
        <v>5</v>
      </c>
      <c r="AF12" s="1">
        <v>1</v>
      </c>
      <c r="AG12" s="1">
        <v>2</v>
      </c>
      <c r="AH12" s="1">
        <v>5</v>
      </c>
      <c r="AI12" s="1">
        <f>SUM(AD12:AH12)</f>
        <v>18</v>
      </c>
    </row>
    <row r="13" spans="1:35" x14ac:dyDescent="0.2">
      <c r="A13" t="str">
        <f>B13 &amp; " " &amp; C13</f>
        <v>Classic McEliece  CMAC</v>
      </c>
      <c r="B13" t="s">
        <v>7</v>
      </c>
      <c r="C13" t="s">
        <v>4</v>
      </c>
      <c r="D13" t="s">
        <v>0</v>
      </c>
      <c r="E13" s="1">
        <v>21.59</v>
      </c>
      <c r="F13" s="1">
        <v>1.0461526435159201</v>
      </c>
      <c r="G13" s="1">
        <v>1255.9845649999625</v>
      </c>
      <c r="H13" s="1">
        <v>98.926139409334098</v>
      </c>
      <c r="I13" s="1">
        <v>17.29</v>
      </c>
      <c r="J13" s="1">
        <v>0.89484325132642295</v>
      </c>
      <c r="K13" s="1">
        <v>199.33541900030801</v>
      </c>
      <c r="L13" s="1">
        <v>1.73271736305511</v>
      </c>
      <c r="M13" s="1">
        <v>0</v>
      </c>
      <c r="N13" s="1">
        <v>0</v>
      </c>
      <c r="O13" s="1">
        <v>0</v>
      </c>
      <c r="P13" s="1">
        <v>0</v>
      </c>
      <c r="Q13" s="1">
        <v>1.9</v>
      </c>
      <c r="R13" s="1">
        <v>1.1780398031381529</v>
      </c>
      <c r="S13" s="1">
        <v>8.1001999969885219E-2</v>
      </c>
      <c r="T13" s="1">
        <v>1.3636441073527801E-3</v>
      </c>
      <c r="U13" s="1">
        <v>2.1669999999999998</v>
      </c>
      <c r="V13" s="1">
        <v>1.2901844320432905</v>
      </c>
      <c r="W13" s="1">
        <v>4.2107999834115617E-2</v>
      </c>
      <c r="X13" s="1">
        <v>1.4098984031129553E-3</v>
      </c>
      <c r="Y13" s="1">
        <f>SUM(E13*G13,I13*K13,M13*O13,Q13*S13,U13*W13)/SUM(G13,K13,O13,S13,W13)</f>
        <v>20.999420335082185</v>
      </c>
      <c r="Z13" s="1">
        <f>SQRT(1/AA13)</f>
        <v>2.6212134342162827E-2</v>
      </c>
      <c r="AA13" s="1">
        <f>SUM(G13,K13,O13,S13,W13)</f>
        <v>1455.4430940000746</v>
      </c>
      <c r="AB13" s="1">
        <f>LOG(AA13)</f>
        <v>3.1629952297371169</v>
      </c>
      <c r="AC13" s="1">
        <f>ABS((AB13/AA13)*(SQRT(SUM(H13*H13,L13*L13,P13*P13,T13*T13,X13*X13))))</f>
        <v>0.21502104863531146</v>
      </c>
      <c r="AD13" s="1">
        <v>5</v>
      </c>
      <c r="AE13" s="1">
        <v>5</v>
      </c>
      <c r="AF13" s="1">
        <v>1</v>
      </c>
      <c r="AG13" s="1">
        <v>2</v>
      </c>
      <c r="AH13" s="1">
        <v>3</v>
      </c>
      <c r="AI13" s="1">
        <f>SUM(AD13:AH13)</f>
        <v>16</v>
      </c>
    </row>
    <row r="14" spans="1:35" x14ac:dyDescent="0.2">
      <c r="A14" t="str">
        <f>B14 &amp; " " &amp; C14</f>
        <v>Classic McEliece  SPHINCS+</v>
      </c>
      <c r="B14" t="s">
        <v>7</v>
      </c>
      <c r="C14" t="s">
        <v>3</v>
      </c>
      <c r="D14" t="s">
        <v>0</v>
      </c>
      <c r="E14" s="1">
        <v>17.249000000000002</v>
      </c>
      <c r="F14" s="1">
        <v>0.91623460340943697</v>
      </c>
      <c r="G14" s="1">
        <v>802.71087300003273</v>
      </c>
      <c r="H14" s="1">
        <v>70.724329906431294</v>
      </c>
      <c r="I14" s="1">
        <v>17.024999999999999</v>
      </c>
      <c r="J14" s="1">
        <v>1.03894796731495</v>
      </c>
      <c r="K14" s="1">
        <v>92.394766999932401</v>
      </c>
      <c r="L14" s="1">
        <v>0.77915149765696001</v>
      </c>
      <c r="M14" s="1">
        <v>0</v>
      </c>
      <c r="N14" s="1">
        <v>0</v>
      </c>
      <c r="O14" s="1">
        <v>0</v>
      </c>
      <c r="P14" s="1">
        <v>0</v>
      </c>
      <c r="Q14" s="1">
        <v>17.184000000000001</v>
      </c>
      <c r="R14" s="1">
        <v>0.81207145030720085</v>
      </c>
      <c r="S14" s="1">
        <v>1800.5107409998527</v>
      </c>
      <c r="T14" s="1">
        <v>68.655235873890348</v>
      </c>
      <c r="U14" s="1">
        <v>8.6070000000000011</v>
      </c>
      <c r="V14" s="1">
        <v>2.4217333532706347</v>
      </c>
      <c r="W14" s="1">
        <v>1.3806679999106564</v>
      </c>
      <c r="X14" s="1">
        <v>2.8833061063327618E-2</v>
      </c>
      <c r="Y14" s="1">
        <f>SUM(E14*G14,I14*K14,M14*O14,Q14*S14,U14*W14)/SUM(G14,K14,O14,S14,W14)</f>
        <v>17.193508148837722</v>
      </c>
      <c r="Z14" s="1">
        <f>SQRT(1/AA14)</f>
        <v>1.9255720097226744E-2</v>
      </c>
      <c r="AA14" s="1">
        <f>SUM(G14,K14,O14,S14,W14)</f>
        <v>2696.9970489997286</v>
      </c>
      <c r="AB14" s="1">
        <f>LOG(AA14)</f>
        <v>3.4308804712568084</v>
      </c>
      <c r="AC14" s="1">
        <f>ABS((AB14/AA14)*(SQRT(SUM(H14*H14,L14*L14,P14*P14,T14*T14,X14*X14))))</f>
        <v>0.12539224017726999</v>
      </c>
      <c r="AD14" s="1">
        <v>5</v>
      </c>
      <c r="AE14" s="1">
        <v>3</v>
      </c>
      <c r="AF14" s="1">
        <v>1</v>
      </c>
      <c r="AG14" s="1">
        <v>2</v>
      </c>
      <c r="AH14" s="1">
        <v>5</v>
      </c>
      <c r="AI14" s="1">
        <f>SUM(AD14:AH14)</f>
        <v>16</v>
      </c>
    </row>
    <row r="15" spans="1:35" x14ac:dyDescent="0.2">
      <c r="A15" t="str">
        <f>B15 &amp; " " &amp; C15</f>
        <v>Classic McEliece  ML-DSA</v>
      </c>
      <c r="B15" t="s">
        <v>7</v>
      </c>
      <c r="C15" t="s">
        <v>1</v>
      </c>
      <c r="D15" t="s">
        <v>0</v>
      </c>
      <c r="E15" s="1">
        <v>15.550999999999998</v>
      </c>
      <c r="F15" s="1">
        <v>0.82734148287930598</v>
      </c>
      <c r="G15" s="1">
        <v>481.46782899988466</v>
      </c>
      <c r="H15" s="1">
        <v>39.313553380238901</v>
      </c>
      <c r="I15" s="1">
        <v>18.106999999999999</v>
      </c>
      <c r="J15" s="1">
        <v>1.1418939211996499</v>
      </c>
      <c r="K15" s="1">
        <v>85.602887999848406</v>
      </c>
      <c r="L15" s="1">
        <v>0.78045751496136895</v>
      </c>
      <c r="M15" s="1">
        <v>0</v>
      </c>
      <c r="N15" s="1">
        <v>0</v>
      </c>
      <c r="O15" s="1">
        <v>0</v>
      </c>
      <c r="P15" s="1">
        <v>0</v>
      </c>
      <c r="Q15" s="1">
        <v>5.4170000000000007</v>
      </c>
      <c r="R15" s="1">
        <v>2.0009972538964194</v>
      </c>
      <c r="S15" s="1">
        <v>0.95597699972131522</v>
      </c>
      <c r="T15" s="1">
        <v>3.4492788495269114E-2</v>
      </c>
      <c r="U15" s="1">
        <v>4.3330000000000002</v>
      </c>
      <c r="V15" s="1">
        <v>1.9906701856105617</v>
      </c>
      <c r="W15" s="1">
        <v>0.21842599962837994</v>
      </c>
      <c r="X15" s="1">
        <v>5.5137635987234533E-3</v>
      </c>
      <c r="Y15" s="1">
        <f>SUM(E15*G15,I15*K15,M15*O15,Q15*S15,U15*W15)/SUM(G15,K15,O15,S15,W15)</f>
        <v>15.914686023293852</v>
      </c>
      <c r="Z15" s="1">
        <f>SQRT(1/AA15)</f>
        <v>4.1950017141049283E-2</v>
      </c>
      <c r="AA15" s="1">
        <f>SUM(G15,K15,O15,S15,W15)</f>
        <v>568.24511999908282</v>
      </c>
      <c r="AB15" s="1">
        <f>LOG(AA15)</f>
        <v>2.7545357147594012</v>
      </c>
      <c r="AC15" s="1">
        <f>ABS((AB15/AA15)*(SQRT(SUM(H15*H15,L15*L15,P15*P15,T15*T15,X15*X15))))</f>
        <v>0.19060782523539513</v>
      </c>
      <c r="AD15" s="1">
        <v>5</v>
      </c>
      <c r="AE15" s="1">
        <v>5</v>
      </c>
      <c r="AF15" s="1">
        <v>1</v>
      </c>
      <c r="AG15" s="1">
        <v>3</v>
      </c>
      <c r="AH15" s="1">
        <v>5</v>
      </c>
      <c r="AI15" s="1">
        <f>SUM(AD15:AH15)</f>
        <v>19</v>
      </c>
    </row>
    <row r="16" spans="1:35" x14ac:dyDescent="0.2">
      <c r="A16" t="str">
        <f>B16 &amp; " " &amp; C16</f>
        <v>HQC  HMAC</v>
      </c>
      <c r="B16" t="s">
        <v>6</v>
      </c>
      <c r="C16" t="s">
        <v>5</v>
      </c>
      <c r="D16" t="s">
        <v>0</v>
      </c>
      <c r="E16" s="1">
        <v>23.725000000000001</v>
      </c>
      <c r="F16" s="1">
        <v>1.1161680252569699</v>
      </c>
      <c r="G16" s="1">
        <v>22.021301000095264</v>
      </c>
      <c r="H16" s="1">
        <v>8.2083569676280999E-2</v>
      </c>
      <c r="I16" s="1">
        <v>23.568000000000001</v>
      </c>
      <c r="J16" s="1">
        <v>1.33516758680267</v>
      </c>
      <c r="K16" s="1">
        <v>23.0161569998745</v>
      </c>
      <c r="L16" s="1">
        <v>6.9982289237003698E-2</v>
      </c>
      <c r="M16" s="1">
        <v>0</v>
      </c>
      <c r="N16" s="1">
        <v>0</v>
      </c>
      <c r="O16" s="1">
        <v>0</v>
      </c>
      <c r="P16" s="1">
        <v>0</v>
      </c>
      <c r="Q16" s="1">
        <v>1.6669999999999998</v>
      </c>
      <c r="R16" s="1">
        <v>1.1964172568653682</v>
      </c>
      <c r="S16" s="1">
        <v>4.885899972578045E-2</v>
      </c>
      <c r="T16" s="1">
        <v>7.378087937534208E-4</v>
      </c>
      <c r="U16" s="1">
        <v>1</v>
      </c>
      <c r="V16" s="1">
        <v>1</v>
      </c>
      <c r="W16" s="1">
        <v>2.3890999982540961E-2</v>
      </c>
      <c r="X16" s="1">
        <v>5.5891507924547086E-4</v>
      </c>
      <c r="Y16" s="1">
        <f>SUM(E16*G16,I16*K16,M16*O16,Q16*S16,U16*W16)/SUM(G16,K16,O16,S16,W16)</f>
        <v>23.608968802813504</v>
      </c>
      <c r="Z16" s="1">
        <f>SQRT(1/AA16)</f>
        <v>0.1488889904604212</v>
      </c>
      <c r="AA16" s="1">
        <f>SUM(G16,K16,O16,S16,W16)</f>
        <v>45.110207999678082</v>
      </c>
      <c r="AB16" s="1">
        <f>LOG(AA16)</f>
        <v>1.6542748296005738</v>
      </c>
      <c r="AC16" s="1">
        <f>ABS((AB16/AA16)*(SQRT(SUM(H16*H16,L16*L16,P16*P16,T16*T16,X16*X16))))</f>
        <v>3.9558185934127719E-3</v>
      </c>
      <c r="AD16" s="1">
        <v>5</v>
      </c>
      <c r="AE16" s="1">
        <v>5</v>
      </c>
      <c r="AF16" s="1">
        <v>2</v>
      </c>
      <c r="AG16" s="1">
        <v>1</v>
      </c>
      <c r="AH16" s="1">
        <v>5</v>
      </c>
      <c r="AI16" s="1">
        <f>SUM(AD16:AH16)</f>
        <v>18</v>
      </c>
    </row>
    <row r="17" spans="1:35" x14ac:dyDescent="0.2">
      <c r="A17" t="str">
        <f>B17 &amp; " " &amp; C17</f>
        <v>HQC  CMAC</v>
      </c>
      <c r="B17" t="s">
        <v>6</v>
      </c>
      <c r="C17" t="s">
        <v>4</v>
      </c>
      <c r="D17" t="s">
        <v>0</v>
      </c>
      <c r="E17" s="1">
        <v>23.216999999999999</v>
      </c>
      <c r="F17" s="1">
        <v>1.49228930969781</v>
      </c>
      <c r="G17" s="1">
        <v>21.747199000164983</v>
      </c>
      <c r="H17" s="1">
        <v>6.0679995469615798E-2</v>
      </c>
      <c r="I17" s="1">
        <v>28.152999999999999</v>
      </c>
      <c r="J17" s="1">
        <v>2.0409011947834901</v>
      </c>
      <c r="K17" s="1">
        <v>24.748414000023299</v>
      </c>
      <c r="L17" s="1">
        <v>0.42823153345258902</v>
      </c>
      <c r="M17" s="1">
        <v>0</v>
      </c>
      <c r="N17" s="1">
        <v>0</v>
      </c>
      <c r="O17" s="1">
        <v>0</v>
      </c>
      <c r="P17" s="1">
        <v>0</v>
      </c>
      <c r="Q17" s="1">
        <v>2</v>
      </c>
      <c r="R17" s="1">
        <v>1.4070529413628969</v>
      </c>
      <c r="S17" s="1">
        <v>5.0422000131220557E-2</v>
      </c>
      <c r="T17" s="1">
        <v>9.2451196479514258E-4</v>
      </c>
      <c r="U17" s="1">
        <v>3.375</v>
      </c>
      <c r="V17" s="1">
        <v>1.712024836386447</v>
      </c>
      <c r="W17" s="1">
        <v>2.3949999776959885E-2</v>
      </c>
      <c r="X17" s="1">
        <v>1.3812097760159969E-3</v>
      </c>
      <c r="Y17" s="1">
        <f>SUM(E17*G17,I17*K17,M17*O17,Q17*S17,U17*W17)/SUM(G17,K17,O17,S17,W17)</f>
        <v>25.806933237717526</v>
      </c>
      <c r="Z17" s="1">
        <f>SQRT(1/AA17)</f>
        <v>0.14653688353765887</v>
      </c>
      <c r="AA17" s="1">
        <f>SUM(G17,K17,O17,S17,W17)</f>
        <v>46.569985000096466</v>
      </c>
      <c r="AB17" s="1">
        <f>LOG(AA17)</f>
        <v>1.6681060980491929</v>
      </c>
      <c r="AC17" s="1">
        <f>ABS((AB17/AA17)*(SQRT(SUM(H17*H17,L17*L17,P17*P17,T17*T17,X17*X17))))</f>
        <v>1.5492312354516166E-2</v>
      </c>
      <c r="AD17" s="1">
        <v>5</v>
      </c>
      <c r="AE17" s="1">
        <v>5</v>
      </c>
      <c r="AF17" s="1">
        <v>2</v>
      </c>
      <c r="AG17" s="1">
        <v>1</v>
      </c>
      <c r="AH17" s="1">
        <v>3</v>
      </c>
      <c r="AI17" s="1">
        <f>SUM(AD17:AH17)</f>
        <v>16</v>
      </c>
    </row>
    <row r="18" spans="1:35" x14ac:dyDescent="0.2">
      <c r="A18" t="str">
        <f>B18 &amp; " " &amp; C18</f>
        <v>HQC  SPHINCS+</v>
      </c>
      <c r="B18" t="s">
        <v>6</v>
      </c>
      <c r="C18" t="s">
        <v>3</v>
      </c>
      <c r="D18" t="s">
        <v>0</v>
      </c>
      <c r="E18" s="1">
        <v>21.131999999999998</v>
      </c>
      <c r="F18" s="1">
        <v>1.6389432909991399</v>
      </c>
      <c r="G18" s="1">
        <v>29.49627900012274</v>
      </c>
      <c r="H18" s="1">
        <v>1.1813945681329701</v>
      </c>
      <c r="I18" s="1">
        <v>26.515000000000001</v>
      </c>
      <c r="J18" s="1">
        <v>1.77644826390847</v>
      </c>
      <c r="K18" s="1">
        <v>59.945737000161898</v>
      </c>
      <c r="L18" s="1">
        <v>0.75153528826451399</v>
      </c>
      <c r="M18" s="1">
        <v>0</v>
      </c>
      <c r="N18" s="1">
        <v>0</v>
      </c>
      <c r="O18" s="1">
        <v>0</v>
      </c>
      <c r="P18" s="1">
        <v>0</v>
      </c>
      <c r="Q18" s="1">
        <v>17.834</v>
      </c>
      <c r="R18" s="1">
        <v>0.73818398516873551</v>
      </c>
      <c r="S18" s="1">
        <v>1257.8781700001855</v>
      </c>
      <c r="T18" s="1">
        <v>58.547020336551668</v>
      </c>
      <c r="U18" s="1">
        <v>11.065999999999999</v>
      </c>
      <c r="V18" s="1">
        <v>2.3028323447617298</v>
      </c>
      <c r="W18" s="1">
        <v>3.3229099999152822</v>
      </c>
      <c r="X18" s="1">
        <v>9.2524487342956555E-2</v>
      </c>
      <c r="Y18" s="1">
        <f>SUM(E18*G18,I18*K18,M18*O18,Q18*S18,U18*W18)/SUM(G18,K18,O18,S18,W18)</f>
        <v>18.274662835299619</v>
      </c>
      <c r="Z18" s="1">
        <f>SQRT(1/AA18)</f>
        <v>2.7210072473397236E-2</v>
      </c>
      <c r="AA18" s="1">
        <f>SUM(G18,K18,O18,S18,W18)</f>
        <v>1350.6430960003854</v>
      </c>
      <c r="AB18" s="1">
        <f>LOG(AA18)</f>
        <v>3.1305406029708345</v>
      </c>
      <c r="AC18" s="1">
        <f>ABS((AB18/AA18)*(SQRT(SUM(H18*H18,L18*L18,P18*P18,T18*T18,X18*X18))))</f>
        <v>0.13574012309949418</v>
      </c>
      <c r="AD18" s="1">
        <v>2</v>
      </c>
      <c r="AE18" s="1">
        <v>3</v>
      </c>
      <c r="AF18" s="1">
        <v>1</v>
      </c>
      <c r="AG18" s="1">
        <v>2</v>
      </c>
      <c r="AH18" s="1">
        <v>5</v>
      </c>
      <c r="AI18" s="1">
        <f>SUM(AD18:AH18)</f>
        <v>13</v>
      </c>
    </row>
    <row r="19" spans="1:35" x14ac:dyDescent="0.2">
      <c r="A19" t="str">
        <f>B19 &amp; " " &amp; C19</f>
        <v>HQC  ML-DSA</v>
      </c>
      <c r="B19" t="s">
        <v>6</v>
      </c>
      <c r="C19" t="s">
        <v>1</v>
      </c>
      <c r="D19" t="s">
        <v>0</v>
      </c>
      <c r="E19" s="1">
        <v>18.759</v>
      </c>
      <c r="F19" s="1">
        <v>1.0184996838785001</v>
      </c>
      <c r="G19" s="1">
        <v>58.718641999948886</v>
      </c>
      <c r="H19" s="1">
        <v>0.752057923232759</v>
      </c>
      <c r="I19" s="1">
        <v>16.12</v>
      </c>
      <c r="J19" s="1">
        <v>1.14487792124114</v>
      </c>
      <c r="K19" s="1">
        <v>56.017561000007802</v>
      </c>
      <c r="L19" s="1">
        <v>0.864483191767633</v>
      </c>
      <c r="M19" s="1">
        <v>0</v>
      </c>
      <c r="N19" s="1">
        <v>0</v>
      </c>
      <c r="O19" s="1">
        <v>0</v>
      </c>
      <c r="P19" s="1">
        <v>0</v>
      </c>
      <c r="Q19" s="1">
        <v>8.8330000000000002</v>
      </c>
      <c r="R19" s="1">
        <v>1.9970377330112488</v>
      </c>
      <c r="S19" s="1">
        <v>3.2311050000134856</v>
      </c>
      <c r="T19" s="1">
        <v>0.17423422360399687</v>
      </c>
      <c r="U19" s="1">
        <v>3.2080000000000002</v>
      </c>
      <c r="V19" s="1">
        <v>1.5154428495667629</v>
      </c>
      <c r="W19" s="1">
        <v>0.53333399977418594</v>
      </c>
      <c r="X19" s="1">
        <v>1.2891843820837577E-2</v>
      </c>
      <c r="Y19" s="1">
        <f>SUM(E19*G19,I19*K19,M19*O19,Q19*S19,U19*W19)/SUM(G19,K19,O19,S19,W19)</f>
        <v>17.170855281424984</v>
      </c>
      <c r="Z19" s="1">
        <f>SQRT(1/AA19)</f>
        <v>9.1862793591844377E-2</v>
      </c>
      <c r="AA19" s="1">
        <f>SUM(G19,K19,O19,S19,W19)</f>
        <v>118.50064199974436</v>
      </c>
      <c r="AB19" s="1">
        <f>LOG(AA19)</f>
        <v>2.0737207032253724</v>
      </c>
      <c r="AC19" s="1">
        <f>ABS((AB19/AA19)*(SQRT(SUM(H19*H19,L19*L19,P19*P19,T19*T19,X19*X19))))</f>
        <v>2.028334975234624E-2</v>
      </c>
      <c r="AD19" s="1">
        <v>2</v>
      </c>
      <c r="AE19" s="1">
        <v>5</v>
      </c>
      <c r="AF19" s="1">
        <v>2</v>
      </c>
      <c r="AG19" s="1">
        <v>2</v>
      </c>
      <c r="AH19" s="1">
        <v>5</v>
      </c>
      <c r="AI19" s="1">
        <f>SUM(AD19:AH19)</f>
        <v>16</v>
      </c>
    </row>
    <row r="20" spans="1:35" x14ac:dyDescent="0.2">
      <c r="A20" t="str">
        <f>B20 &amp; " " &amp; C20</f>
        <v>ML-KEM  HMAC</v>
      </c>
      <c r="B20" t="s">
        <v>2</v>
      </c>
      <c r="C20" t="s">
        <v>5</v>
      </c>
      <c r="D20" t="s">
        <v>0</v>
      </c>
      <c r="E20" s="1">
        <v>7.2479999999999993</v>
      </c>
      <c r="F20" s="1">
        <v>2.1332795826561899</v>
      </c>
      <c r="G20" s="1">
        <v>1.0450559999662801</v>
      </c>
      <c r="H20" s="1">
        <v>2.7458286721445901E-2</v>
      </c>
      <c r="I20" s="1">
        <v>4.242</v>
      </c>
      <c r="J20" s="1">
        <v>1.74009008242375</v>
      </c>
      <c r="K20" s="1">
        <v>0.22507400004542399</v>
      </c>
      <c r="L20" s="1">
        <v>8.4815180690914795E-3</v>
      </c>
      <c r="M20" s="1">
        <v>0</v>
      </c>
      <c r="N20" s="1">
        <v>0</v>
      </c>
      <c r="O20" s="1">
        <v>0</v>
      </c>
      <c r="P20" s="1">
        <v>0</v>
      </c>
      <c r="Q20" s="1">
        <v>1.3810000000000002</v>
      </c>
      <c r="R20" s="1">
        <v>0.97214403783751635</v>
      </c>
      <c r="S20" s="1">
        <v>6.3255999957618769E-2</v>
      </c>
      <c r="T20" s="1">
        <v>1.503243167192563E-3</v>
      </c>
      <c r="U20" s="1">
        <v>3.7749999999999999</v>
      </c>
      <c r="V20" s="1">
        <v>1.6848974881144982</v>
      </c>
      <c r="W20" s="1">
        <v>4.8012000152084511E-2</v>
      </c>
      <c r="X20" s="1">
        <v>1.6216485229222479E-3</v>
      </c>
      <c r="Y20" s="1">
        <f>SUM(E20*G20,I20*K20,M20*O20,Q20*S20,U20*W20)/SUM(G20,K20,O20,S20,W20)</f>
        <v>6.3688608436458223</v>
      </c>
      <c r="Z20" s="1">
        <f>SQRT(1/AA20)</f>
        <v>0.85082567810965415</v>
      </c>
      <c r="AA20" s="1">
        <f>SUM(G20,K20,O20,S20,W20)</f>
        <v>1.3813980001214072</v>
      </c>
      <c r="AB20" s="1">
        <f>LOG(AA20)</f>
        <v>0.14031882293343637</v>
      </c>
      <c r="AC20" s="1">
        <f>ABS((AB20/AA20)*(SQRT(SUM(H20*H20,L20*L20,P20*P20,T20*T20,X20*X20))))</f>
        <v>2.927796908071185E-3</v>
      </c>
      <c r="AD20" s="1">
        <v>5</v>
      </c>
      <c r="AE20" s="1">
        <v>5</v>
      </c>
      <c r="AF20" s="1">
        <v>4</v>
      </c>
      <c r="AG20" s="1">
        <v>5</v>
      </c>
      <c r="AH20" s="1">
        <v>5</v>
      </c>
      <c r="AI20" s="1">
        <f>SUM(AD20:AH20)</f>
        <v>24</v>
      </c>
    </row>
    <row r="21" spans="1:35" x14ac:dyDescent="0.2">
      <c r="A21" t="str">
        <f>B21 &amp; " " &amp; C21</f>
        <v>ML-KEM  CMAC</v>
      </c>
      <c r="B21" t="s">
        <v>2</v>
      </c>
      <c r="C21" t="s">
        <v>4</v>
      </c>
      <c r="D21" t="s">
        <v>0</v>
      </c>
      <c r="E21" s="1">
        <v>7.056</v>
      </c>
      <c r="F21" s="1">
        <v>2.0541750144276798</v>
      </c>
      <c r="G21" s="1">
        <v>1.2255390000791522</v>
      </c>
      <c r="H21" s="1">
        <v>2.96217551409345E-2</v>
      </c>
      <c r="I21" s="1">
        <v>2</v>
      </c>
      <c r="J21" s="1">
        <v>1.2373717666444799</v>
      </c>
      <c r="K21" s="1">
        <v>0.240229999944858</v>
      </c>
      <c r="L21" s="1">
        <v>4.3585043877532202E-3</v>
      </c>
      <c r="M21" s="1">
        <v>0</v>
      </c>
      <c r="N21" s="1">
        <v>0</v>
      </c>
      <c r="O21" s="1">
        <v>0</v>
      </c>
      <c r="P21" s="1">
        <v>0</v>
      </c>
      <c r="Q21" s="1">
        <v>3</v>
      </c>
      <c r="R21" s="1">
        <v>1.7144660799776528</v>
      </c>
      <c r="S21" s="1">
        <v>5.8084999873244669E-2</v>
      </c>
      <c r="T21" s="1">
        <v>1.485262537205622E-3</v>
      </c>
      <c r="U21" s="1">
        <v>1.75</v>
      </c>
      <c r="V21" s="1">
        <v>1.2439246298906075</v>
      </c>
      <c r="W21" s="1">
        <v>3.9929000158736017E-2</v>
      </c>
      <c r="X21" s="1">
        <v>1.2543373671480755E-3</v>
      </c>
      <c r="Y21" s="1">
        <f>SUM(E21*G21,I21*K21,M21*O21,Q21*S21,U21*W21)/SUM(G21,K21,O21,S21,W21)</f>
        <v>5.9931550183178697</v>
      </c>
      <c r="Z21" s="1">
        <f>SQRT(1/AA21)</f>
        <v>0.7996717541187921</v>
      </c>
      <c r="AA21" s="1">
        <f>SUM(G21,K21,O21,S21,W21)</f>
        <v>1.5637830000559909</v>
      </c>
      <c r="AB21" s="1">
        <f>LOG(AA21)</f>
        <v>0.19417648758780667</v>
      </c>
      <c r="AC21" s="1">
        <f>ABS((AB21/AA21)*(SQRT(SUM(H21*H21,L21*L21,P21*P21,T21*T21,X21*X21))))</f>
        <v>3.7255939573108583E-3</v>
      </c>
      <c r="AD21" s="1">
        <v>5</v>
      </c>
      <c r="AE21" s="1">
        <v>5</v>
      </c>
      <c r="AF21" s="1">
        <v>4</v>
      </c>
      <c r="AG21" s="1">
        <v>5</v>
      </c>
      <c r="AH21" s="1">
        <v>3</v>
      </c>
      <c r="AI21" s="1">
        <f>SUM(AD21:AH21)</f>
        <v>22</v>
      </c>
    </row>
    <row r="22" spans="1:35" ht="10" x14ac:dyDescent="0.2">
      <c r="A22" t="str">
        <f>B22 &amp; " " &amp; C22</f>
        <v>ML-KEM  SPHINCS+</v>
      </c>
      <c r="B22" t="s">
        <v>2</v>
      </c>
      <c r="C22" t="s">
        <v>3</v>
      </c>
      <c r="D22" t="s">
        <v>0</v>
      </c>
      <c r="E22" s="1">
        <v>6.2789999999999999</v>
      </c>
      <c r="F22" s="1">
        <v>2.1836135813662798</v>
      </c>
      <c r="G22" s="1">
        <v>0.95495400011714082</v>
      </c>
      <c r="H22" s="1">
        <v>4.9159363125319697E-2</v>
      </c>
      <c r="I22" s="1">
        <v>1</v>
      </c>
      <c r="J22" s="1">
        <v>1</v>
      </c>
      <c r="K22" s="1">
        <v>7.4338000522402498E-2</v>
      </c>
      <c r="L22" s="1">
        <v>8.5693341037005395E-4</v>
      </c>
      <c r="M22" s="1">
        <v>0</v>
      </c>
      <c r="N22" s="1">
        <v>0</v>
      </c>
      <c r="O22" s="1">
        <v>0</v>
      </c>
      <c r="P22" s="1">
        <v>0</v>
      </c>
      <c r="Q22" s="1">
        <v>23.945</v>
      </c>
      <c r="R22" s="1">
        <v>0.75185074679390029</v>
      </c>
      <c r="S22" s="1">
        <v>1992.2238819999984</v>
      </c>
      <c r="T22" s="1">
        <v>80.925219914505789</v>
      </c>
      <c r="U22" s="1">
        <v>5.9340000000000002</v>
      </c>
      <c r="V22" s="1">
        <v>1.858003283640856</v>
      </c>
      <c r="W22" s="1">
        <v>1.1790870000550058</v>
      </c>
      <c r="X22" s="1">
        <v>6.7512024767594344E-3</v>
      </c>
      <c r="Y22" s="1">
        <f>SUM(E22*G22,I22*K22,M22*O22,Q22*S22,U22*W22)/SUM(G22,K22,O22,S22,W22)</f>
        <v>23.925038209607546</v>
      </c>
      <c r="Z22" s="1">
        <f>SQRT(1/AA22)</f>
        <v>2.2391869518466584E-2</v>
      </c>
      <c r="AA22" s="1">
        <f>SUM(G22,K22,O22,S22,W22)</f>
        <v>1994.432261000693</v>
      </c>
      <c r="AB22" s="1">
        <f>LOG(AA22)</f>
        <v>3.2998192904963513</v>
      </c>
      <c r="AC22" s="1">
        <f>ABS((AB22/AA22)*(SQRT(SUM(H22*H22,L22*L22,P22*P22,T22*T22,X22*X22))))</f>
        <v>0.13389206402151493</v>
      </c>
      <c r="AD22" s="1">
        <v>5</v>
      </c>
      <c r="AE22" s="1">
        <v>3</v>
      </c>
      <c r="AF22" s="1">
        <v>1</v>
      </c>
      <c r="AG22" s="1">
        <v>1</v>
      </c>
      <c r="AH22" s="1">
        <v>5</v>
      </c>
      <c r="AI22" s="1">
        <f>SUM(AD22:AH22)</f>
        <v>15</v>
      </c>
    </row>
    <row r="23" spans="1:35" ht="1" x14ac:dyDescent="0.2">
      <c r="A23" t="str">
        <f>B23 &amp; " " &amp; C23</f>
        <v>ML-KEM  ML-DSA</v>
      </c>
      <c r="B23" t="s">
        <v>2</v>
      </c>
      <c r="C23" t="s">
        <v>1</v>
      </c>
      <c r="D23" t="s">
        <v>0</v>
      </c>
      <c r="E23" s="1">
        <v>0.75</v>
      </c>
      <c r="F23" s="1">
        <v>0.75</v>
      </c>
      <c r="G23" s="1">
        <v>0.26688100009778282</v>
      </c>
      <c r="H23" s="1">
        <v>2.4001004881426201E-3</v>
      </c>
      <c r="I23" s="1">
        <v>0</v>
      </c>
      <c r="J23" s="1">
        <v>0</v>
      </c>
      <c r="K23" s="1">
        <v>7.0253000194497803E-2</v>
      </c>
      <c r="L23" s="1">
        <v>9.6036761075308803E-4</v>
      </c>
      <c r="M23" s="1">
        <v>0</v>
      </c>
      <c r="N23" s="1">
        <v>0</v>
      </c>
      <c r="O23" s="1">
        <v>0</v>
      </c>
      <c r="P23" s="1">
        <v>0</v>
      </c>
      <c r="Q23" s="1">
        <v>6.1679999999999993</v>
      </c>
      <c r="R23" s="1">
        <v>2.1670428018501395</v>
      </c>
      <c r="S23" s="1">
        <v>0.79807000012806384</v>
      </c>
      <c r="T23" s="1">
        <v>2.0873573639377259E-2</v>
      </c>
      <c r="U23" s="1">
        <v>4.3499999999999996</v>
      </c>
      <c r="V23" s="1">
        <v>1.941902378721662</v>
      </c>
      <c r="W23" s="1">
        <v>0.19181100000423612</v>
      </c>
      <c r="X23" s="1">
        <v>3.2253074053242444E-3</v>
      </c>
      <c r="Y23" s="1">
        <f>SUM(E23*G23,I23*K23,M23*O23,Q23*S23,U23*W23)/SUM(G23,K23,O23,S23,W23)</f>
        <v>4.4890482466103991</v>
      </c>
      <c r="Z23" s="1">
        <f>SQRT(1/AA23)</f>
        <v>0.86808466422446751</v>
      </c>
      <c r="AA23" s="1">
        <f>SUM(G23,K23,O23,S23,W23)</f>
        <v>1.3270150004245806</v>
      </c>
      <c r="AB23" s="1">
        <f>LOG(AA23)</f>
        <v>0.12287583210693837</v>
      </c>
      <c r="AC23" s="1">
        <f>ABS((AB23/AA23)*(SQRT(SUM(H23*H23,L23*L23,P23*P23,T23*T23,X23*X23))))</f>
        <v>1.9703335817296379E-3</v>
      </c>
      <c r="AD23" s="1">
        <v>5</v>
      </c>
      <c r="AE23" s="1">
        <v>5</v>
      </c>
      <c r="AF23" s="1">
        <v>4</v>
      </c>
      <c r="AG23" s="1">
        <v>5</v>
      </c>
      <c r="AH23" s="1">
        <v>5</v>
      </c>
      <c r="AI23" s="1">
        <f>SUM(AD23:AH23)</f>
        <v>24</v>
      </c>
    </row>
    <row r="26" spans="1:35" x14ac:dyDescent="0.2">
      <c r="Y26" s="1"/>
      <c r="AB26" s="1"/>
    </row>
    <row r="27" spans="1:35" x14ac:dyDescent="0.2">
      <c r="Y27" s="1"/>
      <c r="AB27" s="1"/>
    </row>
    <row r="29" spans="1:35" x14ac:dyDescent="0.2">
      <c r="Y29" s="1"/>
      <c r="AB29" s="1"/>
    </row>
    <row r="30" spans="1:35" x14ac:dyDescent="0.2">
      <c r="E30" s="1"/>
      <c r="Q30" s="1"/>
      <c r="S30" s="1"/>
      <c r="U30" s="1"/>
      <c r="W30" s="1"/>
      <c r="Y30" s="1"/>
      <c r="AB30" s="1"/>
    </row>
    <row r="31" spans="1:35" x14ac:dyDescent="0.2">
      <c r="Q31" s="1"/>
      <c r="S31" s="1"/>
      <c r="U31" s="1"/>
      <c r="W31" s="1"/>
      <c r="Y31" s="1"/>
      <c r="AB31" s="1"/>
    </row>
    <row r="32" spans="1:35" x14ac:dyDescent="0.2">
      <c r="E32" s="1"/>
      <c r="G32" s="1"/>
      <c r="I32" s="1"/>
      <c r="K32" s="1"/>
      <c r="Q32" s="1"/>
      <c r="S32" s="1"/>
      <c r="U32" s="1"/>
      <c r="W32" s="1"/>
      <c r="Y32" s="1"/>
      <c r="AB32" s="1"/>
    </row>
    <row r="33" spans="5:28" x14ac:dyDescent="0.2">
      <c r="E33" s="1"/>
      <c r="G33" s="1"/>
      <c r="I33" s="1"/>
      <c r="K33" s="1"/>
      <c r="Q33" s="1"/>
      <c r="S33" s="1"/>
      <c r="U33" s="1"/>
      <c r="W33" s="1"/>
      <c r="Y33" s="1"/>
      <c r="AB33" s="1"/>
    </row>
    <row r="34" spans="5:28" x14ac:dyDescent="0.2">
      <c r="E34" s="1"/>
      <c r="G34" s="1"/>
      <c r="I34" s="1"/>
      <c r="K34" s="1"/>
    </row>
  </sheetData>
  <conditionalFormatting sqref="Y2:Y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:AB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:AH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721F53-FE33-4E4A-8B79-66FD54FCB3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Leilani Fam</dc:creator>
  <cp:lastModifiedBy>Leilani Fam</cp:lastModifiedBy>
  <dcterms:created xsi:type="dcterms:W3CDTF">2026-03-10T14:01:19Z</dcterms:created>
  <dcterms:modified xsi:type="dcterms:W3CDTF">2026-03-10T17:50:23Z</dcterms:modified>
</cp:coreProperties>
</file>